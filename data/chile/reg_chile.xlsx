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1_2" sheetId="1" r:id="rId4"/>
  </sheets>
  <definedNames>
    <definedName localSheetId="0" name="DatosExternos_2">Tabla1_2!$A$1:$G$17</definedName>
  </definedNames>
  <calcPr/>
  <extLst>
    <ext uri="GoogleSheetsCustomDataVersion2">
      <go:sheetsCustomData xmlns:go="http://customooxmlschemas.google.com/" r:id="rId5" roundtripDataChecksum="RHGnX1o9VO2lC4GV4Zapmax4QeCmYFT8myk2RP68OKM="/>
    </ext>
  </extLst>
</workbook>
</file>

<file path=xl/sharedStrings.xml><?xml version="1.0" encoding="utf-8"?>
<sst xmlns="http://schemas.openxmlformats.org/spreadsheetml/2006/main" count="89" uniqueCount="74">
  <si>
    <t>id_reg</t>
  </si>
  <si>
    <t>nombre_region</t>
  </si>
  <si>
    <t>nombre_oficial</t>
  </si>
  <si>
    <t>cap_regional</t>
  </si>
  <si>
    <t>ISO</t>
  </si>
  <si>
    <t>lat</t>
  </si>
  <si>
    <t>lon</t>
  </si>
  <si>
    <t>zona_geo</t>
  </si>
  <si>
    <t>flag</t>
  </si>
  <si>
    <t>Tarapacá</t>
  </si>
  <si>
    <t>Iquique</t>
  </si>
  <si>
    <t>CL-TA</t>
  </si>
  <si>
    <t>Norte</t>
  </si>
  <si>
    <t>https://i.postimg.cc/nLt1HgRr/ta.png</t>
  </si>
  <si>
    <t>Antofagasta</t>
  </si>
  <si>
    <t>CL-AN</t>
  </si>
  <si>
    <t>https://i.postimg.cc/wjNVYgVd/af.png</t>
  </si>
  <si>
    <t>Atacama</t>
  </si>
  <si>
    <t>Copiapó</t>
  </si>
  <si>
    <t>CL-AT</t>
  </si>
  <si>
    <t>https://i.postimg.cc/4xc5Rs5N/at.png</t>
  </si>
  <si>
    <t>Coquimbo</t>
  </si>
  <si>
    <t>La Serena</t>
  </si>
  <si>
    <t>CL-CO</t>
  </si>
  <si>
    <t>https://i.postimg.cc/YCF3BM30/co.png</t>
  </si>
  <si>
    <t>Valparaíso</t>
  </si>
  <si>
    <t>CL-VS</t>
  </si>
  <si>
    <t>Centro</t>
  </si>
  <si>
    <t>https://i.postimg.cc/3wHZKVSW/vs.png</t>
  </si>
  <si>
    <t>O'Higgins</t>
  </si>
  <si>
    <t>Rancagua</t>
  </si>
  <si>
    <t>CL-LI</t>
  </si>
  <si>
    <t>https://i.postimg.cc/bvjRzWCj/li.png</t>
  </si>
  <si>
    <t>Maule</t>
  </si>
  <si>
    <t>Talca</t>
  </si>
  <si>
    <t>CL-ML</t>
  </si>
  <si>
    <t>https://i.postimg.cc/W4P72CWp/ml.png</t>
  </si>
  <si>
    <t>Biobío</t>
  </si>
  <si>
    <t>Concepción</t>
  </si>
  <si>
    <t>CL-BI</t>
  </si>
  <si>
    <t>Sur</t>
  </si>
  <si>
    <t>https://i.postimg.cc/13FH1sHt/bi.png</t>
  </si>
  <si>
    <t>La Araucanía</t>
  </si>
  <si>
    <t>Temuco</t>
  </si>
  <si>
    <t>CL-AR</t>
  </si>
  <si>
    <t>https://i.postimg.cc/L8PTF2T4/ar.png</t>
  </si>
  <si>
    <t>Los Lagos</t>
  </si>
  <si>
    <t>Puerto Montt</t>
  </si>
  <si>
    <t>CL-LL</t>
  </si>
  <si>
    <t>https://i.postimg.cc/Xv0gVmHb/ll.png</t>
  </si>
  <si>
    <t>Aysén</t>
  </si>
  <si>
    <t>Coyhaique</t>
  </si>
  <si>
    <t>CL-AI</t>
  </si>
  <si>
    <t>https://i.postimg.cc/13FH1sH9/ai.png</t>
  </si>
  <si>
    <t>Magallanes</t>
  </si>
  <si>
    <t>Punta Arenas</t>
  </si>
  <si>
    <t>CL-MA</t>
  </si>
  <si>
    <t>https://i.postimg.cc/0NqC8FW8/ma.png</t>
  </si>
  <si>
    <t>Metropolitana</t>
  </si>
  <si>
    <t>Santiago</t>
  </si>
  <si>
    <t>CL-RM</t>
  </si>
  <si>
    <t>https://i.postimg.cc/ZqhLT27R/rm.png</t>
  </si>
  <si>
    <t>Los Ríos</t>
  </si>
  <si>
    <t>Valdivia</t>
  </si>
  <si>
    <t>CL-LR</t>
  </si>
  <si>
    <t>https://i.postimg.cc/rpL983nM/lr.png</t>
  </si>
  <si>
    <t>Arica y Parinacota</t>
  </si>
  <si>
    <t>Arica</t>
  </si>
  <si>
    <t>CL-AP</t>
  </si>
  <si>
    <t>https://i.postimg.cc/GmDQndQb/ap.png</t>
  </si>
  <si>
    <t>Ñuble</t>
  </si>
  <si>
    <t>Chillán</t>
  </si>
  <si>
    <t>CL-NB</t>
  </si>
  <si>
    <t>https://i.postimg.cc/0NqC8FWk/nb.png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</si>
</sst>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FFFFFF"/>
      <name val="Inter"/>
    </font>
    <font>
      <sz val="11.0"/>
      <color theme="1"/>
      <name val="Inter"/>
    </font>
    <font>
      <sz val="11.0"/>
      <name val="Inter"/>
    </font>
    <font>
      <b/>
      <sz val="12.0"/>
      <color theme="1"/>
      <name val="&quot;Google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abla1_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7" displayName="Table_1" name="Table_1" id="1">
  <tableColumns count="9">
    <tableColumn name="id_reg" id="1"/>
    <tableColumn name="nombre_region" id="2"/>
    <tableColumn name="nombre_oficial" id="3"/>
    <tableColumn name="cap_regional" id="4"/>
    <tableColumn name="ISO" id="5"/>
    <tableColumn name="lat" id="6"/>
    <tableColumn name="lon" id="7"/>
    <tableColumn name="zona_geo" id="8"/>
    <tableColumn name="flag" id="9"/>
  </tableColumns>
  <tableStyleInfo name="Tabla1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.postimg.cc/wjNVYgVd/af.png" TargetMode="External"/><Relationship Id="rId2" Type="http://schemas.openxmlformats.org/officeDocument/2006/relationships/hyperlink" Target="https://i.postimg.cc/4xc5Rs5N/at.png" TargetMode="External"/><Relationship Id="rId3" Type="http://schemas.openxmlformats.org/officeDocument/2006/relationships/hyperlink" Target="https://i.postimg.cc/GmDQndQb/ap.png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9.29"/>
    <col customWidth="1" min="3" max="3" width="40.14"/>
    <col customWidth="1" min="4" max="4" width="14.29"/>
    <col customWidth="1" min="5" max="5" width="8.0"/>
    <col customWidth="1" min="6" max="6" width="7.86"/>
    <col customWidth="1" min="7" max="7" width="7.71"/>
    <col customWidth="1" min="8" max="8" width="10.71"/>
    <col customWidth="1" min="9" max="9" width="95.71"/>
    <col customWidth="1" min="10" max="30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>
        <v>1.0</v>
      </c>
      <c r="B2" s="5" t="s">
        <v>9</v>
      </c>
      <c r="C2" s="6" t="str">
        <f t="shared" ref="C2:C6" si="1">CONCATENATE("de ",B2)</f>
        <v>de Tarapacá</v>
      </c>
      <c r="D2" s="6" t="s">
        <v>10</v>
      </c>
      <c r="E2" s="6" t="s">
        <v>11</v>
      </c>
      <c r="F2" s="4">
        <v>-20.21</v>
      </c>
      <c r="G2" s="4">
        <v>-70.14</v>
      </c>
      <c r="H2" s="6" t="s">
        <v>12</v>
      </c>
      <c r="I2" s="7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4">
        <v>2.0</v>
      </c>
      <c r="B3" s="5" t="s">
        <v>14</v>
      </c>
      <c r="C3" s="6" t="str">
        <f t="shared" si="1"/>
        <v>de Antofagasta</v>
      </c>
      <c r="D3" s="6" t="s">
        <v>14</v>
      </c>
      <c r="E3" s="7" t="s">
        <v>15</v>
      </c>
      <c r="F3" s="4">
        <v>-23.65</v>
      </c>
      <c r="G3" s="4">
        <v>-70.4</v>
      </c>
      <c r="H3" s="6" t="s">
        <v>12</v>
      </c>
      <c r="I3" s="8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4">
        <v>3.0</v>
      </c>
      <c r="B4" s="5" t="s">
        <v>17</v>
      </c>
      <c r="C4" s="4" t="str">
        <f t="shared" si="1"/>
        <v>de Atacama</v>
      </c>
      <c r="D4" s="9" t="s">
        <v>18</v>
      </c>
      <c r="E4" s="7" t="s">
        <v>19</v>
      </c>
      <c r="F4" s="4">
        <v>-27.36</v>
      </c>
      <c r="G4" s="4">
        <v>-70.33</v>
      </c>
      <c r="H4" s="6" t="s">
        <v>12</v>
      </c>
      <c r="I4" s="8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4">
        <v>4.0</v>
      </c>
      <c r="B5" s="5" t="s">
        <v>21</v>
      </c>
      <c r="C5" s="4" t="str">
        <f t="shared" si="1"/>
        <v>de Coquimbo</v>
      </c>
      <c r="D5" s="6" t="s">
        <v>22</v>
      </c>
      <c r="E5" s="6" t="s">
        <v>23</v>
      </c>
      <c r="F5" s="4">
        <v>-30.25</v>
      </c>
      <c r="G5" s="4">
        <v>-71.25</v>
      </c>
      <c r="H5" s="6" t="s">
        <v>12</v>
      </c>
      <c r="I5" s="7" t="s">
        <v>24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4">
        <v>5.0</v>
      </c>
      <c r="B6" s="5" t="s">
        <v>25</v>
      </c>
      <c r="C6" s="4" t="str">
        <f t="shared" si="1"/>
        <v>de Valparaíso</v>
      </c>
      <c r="D6" s="5" t="s">
        <v>25</v>
      </c>
      <c r="E6" s="6" t="s">
        <v>26</v>
      </c>
      <c r="F6" s="4">
        <v>-33.04</v>
      </c>
      <c r="G6" s="4">
        <v>-71.62</v>
      </c>
      <c r="H6" s="6" t="s">
        <v>27</v>
      </c>
      <c r="I6" s="7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4">
        <v>6.0</v>
      </c>
      <c r="B7" s="5" t="s">
        <v>29</v>
      </c>
      <c r="C7" s="4" t="str">
        <f>CONCATENATE("del Libertador Bernado ",B7)</f>
        <v>del Libertador Bernado O'Higgins</v>
      </c>
      <c r="D7" s="6" t="s">
        <v>30</v>
      </c>
      <c r="E7" s="6" t="s">
        <v>31</v>
      </c>
      <c r="F7" s="4">
        <v>-34.17</v>
      </c>
      <c r="G7" s="4">
        <v>-70.74</v>
      </c>
      <c r="H7" s="6" t="s">
        <v>27</v>
      </c>
      <c r="I7" s="7" t="s">
        <v>32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4">
        <v>7.0</v>
      </c>
      <c r="B8" s="5" t="s">
        <v>33</v>
      </c>
      <c r="C8" s="4" t="str">
        <f t="shared" ref="C8:C9" si="2">CONCATENATE("del ",B8)</f>
        <v>del Maule</v>
      </c>
      <c r="D8" s="6" t="s">
        <v>34</v>
      </c>
      <c r="E8" s="6" t="s">
        <v>35</v>
      </c>
      <c r="F8" s="4">
        <v>-35.42</v>
      </c>
      <c r="G8" s="4">
        <v>-71.65</v>
      </c>
      <c r="H8" s="6" t="s">
        <v>27</v>
      </c>
      <c r="I8" s="7" t="s">
        <v>36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4">
        <v>8.0</v>
      </c>
      <c r="B9" s="5" t="s">
        <v>37</v>
      </c>
      <c r="C9" s="4" t="str">
        <f t="shared" si="2"/>
        <v>del Biobío</v>
      </c>
      <c r="D9" s="9" t="s">
        <v>38</v>
      </c>
      <c r="E9" s="6" t="s">
        <v>39</v>
      </c>
      <c r="F9" s="4">
        <v>-36.82</v>
      </c>
      <c r="G9" s="4">
        <v>-73.04</v>
      </c>
      <c r="H9" s="6" t="s">
        <v>40</v>
      </c>
      <c r="I9" s="7" t="s">
        <v>41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4">
        <v>9.0</v>
      </c>
      <c r="B10" s="5" t="s">
        <v>42</v>
      </c>
      <c r="C10" s="4" t="str">
        <f t="shared" ref="C10:C12" si="3">CONCATENATE("de ",B10)</f>
        <v>de La Araucanía</v>
      </c>
      <c r="D10" s="9" t="s">
        <v>43</v>
      </c>
      <c r="E10" s="6" t="s">
        <v>44</v>
      </c>
      <c r="F10" s="4">
        <v>-38.73</v>
      </c>
      <c r="G10" s="4">
        <v>-72.59</v>
      </c>
      <c r="H10" s="6" t="s">
        <v>40</v>
      </c>
      <c r="I10" s="7" t="s">
        <v>45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4">
        <v>10.0</v>
      </c>
      <c r="B11" s="5" t="s">
        <v>46</v>
      </c>
      <c r="C11" s="4" t="str">
        <f t="shared" si="3"/>
        <v>de Los Lagos</v>
      </c>
      <c r="D11" s="9" t="s">
        <v>47</v>
      </c>
      <c r="E11" s="6" t="s">
        <v>48</v>
      </c>
      <c r="F11" s="4">
        <v>-41.46</v>
      </c>
      <c r="G11" s="4">
        <v>-72.96</v>
      </c>
      <c r="H11" s="6" t="s">
        <v>40</v>
      </c>
      <c r="I11" s="7" t="s">
        <v>49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4">
        <v>11.0</v>
      </c>
      <c r="B12" s="5" t="s">
        <v>50</v>
      </c>
      <c r="C12" s="4" t="str">
        <f t="shared" si="3"/>
        <v>de Aysén</v>
      </c>
      <c r="D12" s="9" t="s">
        <v>51</v>
      </c>
      <c r="E12" s="6" t="s">
        <v>52</v>
      </c>
      <c r="F12" s="4">
        <v>-45.57</v>
      </c>
      <c r="G12" s="4">
        <v>-72.06</v>
      </c>
      <c r="H12" s="6" t="s">
        <v>40</v>
      </c>
      <c r="I12" s="7" t="s">
        <v>53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4">
        <v>12.0</v>
      </c>
      <c r="B13" s="5" t="s">
        <v>54</v>
      </c>
      <c r="C13" s="4" t="str">
        <f>CONCATENATE("de ",B13, " y de la Antártica Chilena")</f>
        <v>de Magallanes y de la Antártica Chilena</v>
      </c>
      <c r="D13" s="9" t="s">
        <v>55</v>
      </c>
      <c r="E13" s="6" t="s">
        <v>56</v>
      </c>
      <c r="F13" s="4">
        <v>-53.16</v>
      </c>
      <c r="G13" s="4">
        <v>-70.91</v>
      </c>
      <c r="H13" s="6" t="s">
        <v>40</v>
      </c>
      <c r="I13" s="7" t="s">
        <v>57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4">
        <v>13.0</v>
      </c>
      <c r="B14" s="5" t="s">
        <v>58</v>
      </c>
      <c r="C14" s="4" t="str">
        <f t="shared" ref="C14:C17" si="4">CONCATENATE("de ",B14)</f>
        <v>de Metropolitana</v>
      </c>
      <c r="D14" s="6" t="s">
        <v>59</v>
      </c>
      <c r="E14" s="6" t="s">
        <v>60</v>
      </c>
      <c r="F14" s="4">
        <v>-33.45</v>
      </c>
      <c r="G14" s="4">
        <v>-70.66</v>
      </c>
      <c r="H14" s="6" t="s">
        <v>27</v>
      </c>
      <c r="I14" s="7" t="s">
        <v>61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4">
        <v>14.0</v>
      </c>
      <c r="B15" s="5" t="s">
        <v>62</v>
      </c>
      <c r="C15" s="4" t="str">
        <f t="shared" si="4"/>
        <v>de Los Ríos</v>
      </c>
      <c r="D15" s="6" t="s">
        <v>63</v>
      </c>
      <c r="E15" s="6" t="s">
        <v>64</v>
      </c>
      <c r="F15" s="4">
        <v>-39.81</v>
      </c>
      <c r="G15" s="4">
        <v>-73.24</v>
      </c>
      <c r="H15" s="6" t="s">
        <v>40</v>
      </c>
      <c r="I15" s="7" t="s">
        <v>65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4">
        <v>15.0</v>
      </c>
      <c r="B16" s="5" t="s">
        <v>66</v>
      </c>
      <c r="C16" s="4" t="str">
        <f t="shared" si="4"/>
        <v>de Arica y Parinacota</v>
      </c>
      <c r="D16" s="6" t="s">
        <v>67</v>
      </c>
      <c r="E16" s="7" t="s">
        <v>68</v>
      </c>
      <c r="F16" s="4">
        <v>-18.48</v>
      </c>
      <c r="G16" s="4">
        <v>-70.3</v>
      </c>
      <c r="H16" s="6" t="s">
        <v>12</v>
      </c>
      <c r="I16" s="8" t="s">
        <v>69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4">
        <v>16.0</v>
      </c>
      <c r="B17" s="5" t="s">
        <v>70</v>
      </c>
      <c r="C17" s="4" t="str">
        <f t="shared" si="4"/>
        <v>de Ñuble</v>
      </c>
      <c r="D17" s="6" t="s">
        <v>71</v>
      </c>
      <c r="E17" s="6" t="s">
        <v>72</v>
      </c>
      <c r="F17" s="4">
        <v>-36.6</v>
      </c>
      <c r="G17" s="4">
        <v>-72.1</v>
      </c>
      <c r="H17" s="6" t="s">
        <v>27</v>
      </c>
      <c r="I17" s="7" t="s">
        <v>73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"/>
      <c r="B20" s="3"/>
      <c r="C20" s="3"/>
      <c r="D20" s="3"/>
      <c r="E20" s="10"/>
      <c r="F20" s="3"/>
      <c r="G20" s="3"/>
      <c r="H20" s="10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5.75" customHeight="1">
      <c r="A21" s="3"/>
      <c r="B21" s="3"/>
      <c r="C21" s="3"/>
      <c r="D21" s="3"/>
      <c r="E21" s="10"/>
      <c r="F21" s="3"/>
      <c r="G21" s="3"/>
      <c r="H21" s="10"/>
      <c r="I21" s="1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5.75" customHeight="1">
      <c r="A22" s="3"/>
      <c r="B22" s="3"/>
      <c r="C22" s="3"/>
      <c r="D22" s="3"/>
      <c r="E22" s="10"/>
      <c r="F22" s="3"/>
      <c r="G22" s="3"/>
      <c r="H22" s="10"/>
      <c r="I22" s="1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5.75" customHeight="1">
      <c r="A23" s="3"/>
      <c r="B23" s="3"/>
      <c r="C23" s="3"/>
      <c r="D23" s="3"/>
      <c r="E23" s="10"/>
      <c r="F23" s="3"/>
      <c r="G23" s="3"/>
      <c r="H23" s="10"/>
      <c r="I23" s="1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5.75" customHeight="1">
      <c r="A24" s="3"/>
      <c r="B24" s="3"/>
      <c r="C24" s="3"/>
      <c r="D24" s="3"/>
      <c r="E24" s="10"/>
      <c r="F24" s="3"/>
      <c r="G24" s="3"/>
      <c r="H24" s="10"/>
      <c r="I24" s="1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5.75" customHeight="1">
      <c r="A25" s="3"/>
      <c r="B25" s="3"/>
      <c r="C25" s="3"/>
      <c r="D25" s="3"/>
      <c r="E25" s="10"/>
      <c r="F25" s="3"/>
      <c r="G25" s="3"/>
      <c r="H25" s="10"/>
      <c r="I25" s="1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5.75" customHeight="1">
      <c r="A26" s="3"/>
      <c r="B26" s="3"/>
      <c r="C26" s="3"/>
      <c r="D26" s="3"/>
      <c r="E26" s="10"/>
      <c r="F26" s="3"/>
      <c r="G26" s="3"/>
      <c r="H26" s="10"/>
      <c r="I26" s="1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5.75" customHeight="1">
      <c r="A27" s="3"/>
      <c r="B27" s="3"/>
      <c r="C27" s="3"/>
      <c r="D27" s="3"/>
      <c r="E27" s="10"/>
      <c r="F27" s="3"/>
      <c r="G27" s="3"/>
      <c r="H27" s="10"/>
      <c r="I27" s="1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5.75" customHeight="1">
      <c r="A28" s="3"/>
      <c r="B28" s="3"/>
      <c r="C28" s="3"/>
      <c r="D28" s="3"/>
      <c r="E28" s="10"/>
      <c r="F28" s="3"/>
      <c r="G28" s="3"/>
      <c r="H28" s="10"/>
      <c r="I28" s="1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5.75" customHeight="1">
      <c r="A29" s="3"/>
      <c r="B29" s="3"/>
      <c r="C29" s="3"/>
      <c r="D29" s="3"/>
      <c r="E29" s="10"/>
      <c r="F29" s="3"/>
      <c r="G29" s="3"/>
      <c r="H29" s="10"/>
      <c r="I29" s="1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5.75" customHeight="1">
      <c r="A30" s="3"/>
      <c r="B30" s="3"/>
      <c r="C30" s="3"/>
      <c r="D30" s="3"/>
      <c r="E30" s="10"/>
      <c r="F30" s="3"/>
      <c r="G30" s="3"/>
      <c r="H30" s="10"/>
      <c r="I30" s="1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5.75" customHeight="1">
      <c r="A31" s="3"/>
      <c r="B31" s="3"/>
      <c r="C31" s="3"/>
      <c r="D31" s="3"/>
      <c r="E31" s="10"/>
      <c r="F31" s="3"/>
      <c r="G31" s="3"/>
      <c r="H31" s="10"/>
      <c r="I31" s="1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5.75" customHeight="1">
      <c r="A32" s="3"/>
      <c r="B32" s="3"/>
      <c r="C32" s="3"/>
      <c r="D32" s="3"/>
      <c r="E32" s="10"/>
      <c r="F32" s="3"/>
      <c r="G32" s="3"/>
      <c r="H32" s="10"/>
      <c r="I32" s="1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5.75" customHeight="1">
      <c r="A33" s="3"/>
      <c r="B33" s="3"/>
      <c r="C33" s="3"/>
      <c r="D33" s="3"/>
      <c r="E33" s="10"/>
      <c r="F33" s="3"/>
      <c r="G33" s="3"/>
      <c r="H33" s="10"/>
      <c r="I33" s="1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5.75" customHeight="1">
      <c r="A34" s="3"/>
      <c r="B34" s="3"/>
      <c r="C34" s="3"/>
      <c r="D34" s="3"/>
      <c r="E34" s="10"/>
      <c r="F34" s="3"/>
      <c r="G34" s="3"/>
      <c r="H34" s="10"/>
      <c r="I34" s="1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5.75" customHeight="1">
      <c r="A35" s="3"/>
      <c r="B35" s="3"/>
      <c r="C35" s="3"/>
      <c r="D35" s="3"/>
      <c r="E35" s="10"/>
      <c r="F35" s="3"/>
      <c r="G35" s="3"/>
      <c r="H35" s="11"/>
      <c r="I35" s="1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hyperlinks>
    <hyperlink r:id="rId1" ref="I3"/>
    <hyperlink r:id="rId2" ref="I4"/>
    <hyperlink r:id="rId3" ref="I16"/>
  </hyperlinks>
  <printOptions/>
  <pageMargins bottom="0.75" footer="0.0" header="0.0" left="0.7" right="0.7" top="0.75"/>
  <pageSetup orientation="landscape"/>
  <drawing r:id="rId4"/>
  <tableParts count="1">
    <tablePart r:id="rId6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2026-07-04T06:51:33Z</dcterms:created>
  <dc:creator>Rodrigo Alegre</dc:creator>
</cp:coreProperties>
</file>